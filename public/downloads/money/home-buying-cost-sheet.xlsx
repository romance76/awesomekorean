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00%"/>
    <numFmt numFmtId="166" formatCode="0.0%"/>
  </numFmts>
  <fonts count="9">
    <font>
      <name val="Calibri"/>
      <family val="2"/>
      <color theme="1"/>
      <sz val="11"/>
      <scheme val="minor"/>
    </font>
    <font>
      <name val="Malgun Gothic"/>
      <b val="1"/>
      <color rgb="00047857"/>
      <sz val="18"/>
    </font>
    <font>
      <name val="Malgun Gothic"/>
      <sz val="12"/>
    </font>
    <font>
      <name val="Malgun Gothic"/>
      <color rgb="006B7280"/>
      <sz val="11"/>
    </font>
    <font>
      <name val="Malgun Gothic"/>
      <b val="1"/>
      <color rgb="00FFFFFF"/>
      <sz val="12"/>
    </font>
    <font>
      <name val="Malgun Gothic"/>
      <b val="1"/>
      <sz val="12"/>
    </font>
    <font>
      <name val="Malgun Gothic"/>
      <color rgb="001D4ED8"/>
      <sz val="12"/>
    </font>
    <font>
      <name val="Malgun Gothic"/>
      <b val="1"/>
      <color rgb="00065F46"/>
      <sz val="13"/>
    </font>
    <font>
      <name val="Malgun Gothic"/>
      <b val="1"/>
      <color rgb="00065F46"/>
      <sz val="14"/>
    </font>
  </fonts>
  <fills count="6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F3F4F6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center" wrapText="1"/>
    </xf>
    <xf numFmtId="164" fontId="6" fillId="4" borderId="1" applyAlignment="1" applyProtection="1" pivotButton="0" quotePrefix="0" xfId="0">
      <alignment vertical="center" wrapText="1"/>
      <protection locked="0" hidden="0"/>
    </xf>
    <xf numFmtId="0" fontId="3" fillId="0" borderId="1" applyAlignment="1" pivotButton="0" quotePrefix="0" xfId="0">
      <alignment vertical="center" wrapText="1"/>
    </xf>
    <xf numFmtId="9" fontId="6" fillId="4" borderId="1" applyAlignment="1" applyProtection="1" pivotButton="0" quotePrefix="0" xfId="0">
      <alignment vertical="center" wrapText="1"/>
      <protection locked="0" hidden="0"/>
    </xf>
    <xf numFmtId="164" fontId="7" fillId="5" borderId="1" applyAlignment="1" pivotButton="0" quotePrefix="0" xfId="0">
      <alignment vertical="center" wrapText="1"/>
    </xf>
    <xf numFmtId="165" fontId="6" fillId="4" borderId="1" applyAlignment="1" applyProtection="1" pivotButton="0" quotePrefix="0" xfId="0">
      <alignment vertical="center" wrapText="1"/>
      <protection locked="0" hidden="0"/>
    </xf>
    <xf numFmtId="1" fontId="6" fillId="4" borderId="1" applyAlignment="1" applyProtection="1" pivotButton="0" quotePrefix="0" xfId="0">
      <alignment vertical="center" wrapText="1"/>
      <protection locked="0" hidden="0"/>
    </xf>
    <xf numFmtId="10" fontId="6" fillId="4" borderId="1" applyAlignment="1" applyProtection="1" pivotButton="0" quotePrefix="0" xfId="0">
      <alignment vertical="center" wrapText="1"/>
      <protection locked="0" hidden="0"/>
    </xf>
    <xf numFmtId="164" fontId="8" fillId="5" borderId="1" applyAlignment="1" pivotButton="0" quotePrefix="0" xfId="0">
      <alignment vertical="center" wrapText="1"/>
    </xf>
    <xf numFmtId="166" fontId="6" fillId="4" borderId="1" applyAlignment="1" applyProtection="1" pivotButton="0" quotePrefix="0" xfId="0">
      <alignment vertical="center" wrapText="1"/>
      <protection locked="0" hidden="0"/>
    </xf>
    <xf numFmtId="166" fontId="7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62" customWidth="1" min="3" max="3"/>
  </cols>
  <sheetData>
    <row r="1" ht="34" customHeight="1">
      <c r="A1" s="1" t="inlineStr">
        <is>
          <t>집 살 때 한 달·처음 필요한 돈 계산표</t>
        </is>
      </c>
    </row>
    <row r="2" ht="40" customHeight="1">
      <c r="A2" s="2" t="inlineStr">
        <is>
          <t>집값과 대출 조건을 넣으면 "매달 실제로 나가는 돈"과 "처음 준비할 현금"을 계산해요. 노란 칸의 예시 숫자를 내가 보는 집·대출 견적서(Loan Estimate)의 숫자로 바꾸세요.</t>
        </is>
      </c>
    </row>
    <row r="3" ht="22" customHeight="1">
      <c r="A3" s="3" t="inlineStr">
        <is>
          <t>노란 칸 = 내가 직접 넣는 곳    초록 칸 = 자동 계산 (건드리지 않아도 돼요)</t>
        </is>
      </c>
    </row>
    <row r="5" ht="30" customHeight="1">
      <c r="A5" s="4" t="inlineStr">
        <is>
          <t>항목</t>
        </is>
      </c>
      <c r="B5" s="4" t="inlineStr">
        <is>
          <t>값</t>
        </is>
      </c>
      <c r="C5" s="4" t="inlineStr">
        <is>
          <t>설명</t>
        </is>
      </c>
    </row>
    <row r="6" ht="26" customHeight="1">
      <c r="A6" s="5" t="inlineStr">
        <is>
          <t>1. 집과 대출</t>
        </is>
      </c>
      <c r="B6" s="6" t="n"/>
      <c r="C6" s="6" t="n"/>
    </row>
    <row r="7" ht="30" customHeight="1">
      <c r="A7" s="7" t="inlineStr">
        <is>
          <t>집값 (USD)</t>
        </is>
      </c>
      <c r="B7" s="8" t="n">
        <v>450000</v>
      </c>
      <c r="C7" s="9" t="inlineStr">
        <is>
          <t>예시 금액이에요. 내가 보는 집 가격으로 바꾸세요</t>
        </is>
      </c>
    </row>
    <row r="8" ht="30" customHeight="1">
      <c r="A8" s="7" t="inlineStr">
        <is>
          <t>선납금 비율 (다운페이먼트)</t>
        </is>
      </c>
      <c r="B8" s="10" t="n">
        <v>0.1</v>
      </c>
      <c r="C8" s="9" t="inlineStr">
        <is>
          <t>10% 면 0.10. 20% 이상이면 PMI(대출 보험)가 필요 없어요</t>
        </is>
      </c>
    </row>
    <row r="9" ht="30" customHeight="1">
      <c r="A9" s="7" t="inlineStr">
        <is>
          <t>선납금 (USD)</t>
        </is>
      </c>
      <c r="B9" s="11">
        <f>B7*B8</f>
        <v/>
      </c>
      <c r="C9" s="9" t="inlineStr">
        <is>
          <t>집값 × 선납금 비율</t>
        </is>
      </c>
    </row>
    <row r="10" ht="30" customHeight="1">
      <c r="A10" s="7" t="inlineStr">
        <is>
          <t>대출액 (USD)</t>
        </is>
      </c>
      <c r="B10" s="11">
        <f>B7-B9</f>
        <v/>
      </c>
      <c r="C10" s="9" t="inlineStr">
        <is>
          <t>집값 − 선납금</t>
        </is>
      </c>
    </row>
    <row r="11" ht="30" customHeight="1">
      <c r="A11" s="7" t="inlineStr">
        <is>
          <t>연 금리</t>
        </is>
      </c>
      <c r="B11" s="12" t="n">
        <v>0.065</v>
      </c>
      <c r="C11" s="9" t="inlineStr">
        <is>
          <t>6.5% 면 0.065. 견적서에 적힌 금리를 넣으세요</t>
        </is>
      </c>
    </row>
    <row r="12" ht="30" customHeight="1">
      <c r="A12" s="7" t="inlineStr">
        <is>
          <t>대출 기간 (년)</t>
        </is>
      </c>
      <c r="B12" s="13" t="n">
        <v>30</v>
      </c>
      <c r="C12" s="9" t="inlineStr">
        <is>
          <t>보통 30년 또는 15년</t>
        </is>
      </c>
    </row>
    <row r="13" ht="26" customHeight="1">
      <c r="A13" s="5" t="inlineStr">
        <is>
          <t>2. 매달 내는 돈</t>
        </is>
      </c>
      <c r="B13" s="6" t="n"/>
      <c r="C13" s="6" t="n"/>
    </row>
    <row r="14" ht="30" customHeight="1">
      <c r="A14" s="7" t="inlineStr">
        <is>
          <t>월 원금+이자 (USD)</t>
        </is>
      </c>
      <c r="B14" s="11">
        <f>IF(OR(B11="",B12=0),"",IF(B11=0,B10/(B12*12),PMT(B11/12,B12*12,-B10)))</f>
        <v/>
      </c>
      <c r="C14" s="9" t="inlineStr">
        <is>
          <t>매달 은행에 내는 원금과 이자</t>
        </is>
      </c>
    </row>
    <row r="15" ht="30" customHeight="1">
      <c r="A15" s="7" t="inlineStr">
        <is>
          <t>PMI 연 요율</t>
        </is>
      </c>
      <c r="B15" s="14" t="n">
        <v>0.008</v>
      </c>
      <c r="C15" s="9" t="inlineStr">
        <is>
          <t>0.8% 는 연 0.8%. 견적서에 PMI 금액이 있으면 그걸로 바꾸세요</t>
        </is>
      </c>
    </row>
    <row r="16" ht="30" customHeight="1">
      <c r="A16" s="7" t="inlineStr">
        <is>
          <t>월 PMI (USD)</t>
        </is>
      </c>
      <c r="B16" s="11">
        <f>IF(B8&gt;=0.2,0,B10*B15/12)</f>
        <v/>
      </c>
      <c r="C16" s="9" t="inlineStr">
        <is>
          <t>선납금 20% 이상이면 0</t>
        </is>
      </c>
    </row>
    <row r="17" ht="30" customHeight="1">
      <c r="A17" s="7" t="inlineStr">
        <is>
          <t>재산세 (1년, USD)</t>
        </is>
      </c>
      <c r="B17" s="8" t="n">
        <v>6000</v>
      </c>
      <c r="C17" s="9" t="inlineStr">
        <is>
          <t>카운티마다 크게 달라요. 카운티 재산세 사이트나 매물 정보에서 확인</t>
        </is>
      </c>
    </row>
    <row r="18" ht="30" customHeight="1">
      <c r="A18" s="7" t="inlineStr">
        <is>
          <t>월 재산세 (USD)</t>
        </is>
      </c>
      <c r="B18" s="11">
        <f>B17/12</f>
        <v/>
      </c>
      <c r="C18" s="9" t="inlineStr"/>
    </row>
    <row r="19" ht="30" customHeight="1">
      <c r="A19" s="7" t="inlineStr">
        <is>
          <t>주택보험 (1년, USD)</t>
        </is>
      </c>
      <c r="B19" s="8" t="n">
        <v>1800</v>
      </c>
      <c r="C19" s="9" t="inlineStr">
        <is>
          <t>보험사 견적으로 바꾸세요</t>
        </is>
      </c>
    </row>
    <row r="20" ht="30" customHeight="1">
      <c r="A20" s="7" t="inlineStr">
        <is>
          <t>월 주택보험 (USD)</t>
        </is>
      </c>
      <c r="B20" s="11">
        <f>B19/12</f>
        <v/>
      </c>
      <c r="C20" s="9" t="inlineStr"/>
    </row>
    <row r="21" ht="30" customHeight="1">
      <c r="A21" s="7" t="inlineStr">
        <is>
          <t>HOA 회비 (월, USD)</t>
        </is>
      </c>
      <c r="B21" s="8" t="n">
        <v>0</v>
      </c>
      <c r="C21" s="9" t="inlineStr">
        <is>
          <t>콘도·타운홈·단지는 회비가 있어요</t>
        </is>
      </c>
    </row>
    <row r="22" ht="30" customHeight="1">
      <c r="A22" s="7" t="inlineStr">
        <is>
          <t>매달 실제로 나가는 주거비 (USD)</t>
        </is>
      </c>
      <c r="B22" s="15">
        <f>IF(B14="","",B14+B16+B18+B20+B21)</f>
        <v/>
      </c>
      <c r="C22" s="9" t="inlineStr">
        <is>
          <t>이 금액이 월 수입의 약 28% 안이면 무리가 적다고들 해요 (정답은 아니에요)</t>
        </is>
      </c>
    </row>
    <row r="23" ht="26" customHeight="1">
      <c r="A23" s="5" t="inlineStr">
        <is>
          <t>3. 처음 필요한 현금</t>
        </is>
      </c>
      <c r="B23" s="6" t="n"/>
      <c r="C23" s="6" t="n"/>
    </row>
    <row r="24" ht="30" customHeight="1">
      <c r="A24" s="7" t="inlineStr">
        <is>
          <t>Closing cost 비율</t>
        </is>
      </c>
      <c r="B24" s="16" t="n">
        <v>0.03</v>
      </c>
      <c r="C24" s="9" t="inlineStr">
        <is>
          <t>보통 집값의 2~5%. 견적서(Loan Estimate)의 숫자가 있으면 그 금액을 아래 칸에 직접 쓰세요</t>
        </is>
      </c>
    </row>
    <row r="25" ht="30" customHeight="1">
      <c r="A25" s="7" t="inlineStr">
        <is>
          <t>Closing cost 예상 (USD)</t>
        </is>
      </c>
      <c r="B25" s="11">
        <f>B7*B24</f>
        <v/>
      </c>
      <c r="C25" s="9" t="inlineStr"/>
    </row>
    <row r="26" ht="30" customHeight="1">
      <c r="A26" s="7" t="inlineStr">
        <is>
          <t>처음 필요한 현금 (USD)</t>
        </is>
      </c>
      <c r="B26" s="15">
        <f>B9+B25</f>
        <v/>
      </c>
      <c r="C26" s="9" t="inlineStr">
        <is>
          <t>선납금 + closing cost  (비상금은 따로 두세요!)</t>
        </is>
      </c>
    </row>
    <row r="27" ht="26" customHeight="1">
      <c r="A27" s="5" t="inlineStr">
        <is>
          <t>4. 소득으로 따져 보기</t>
        </is>
      </c>
      <c r="B27" s="6" t="n"/>
      <c r="C27" s="6" t="n"/>
    </row>
    <row r="28" ht="30" customHeight="1">
      <c r="A28" s="7" t="inlineStr">
        <is>
          <t>세전 월 수입 (USD)</t>
        </is>
      </c>
      <c r="B28" s="8" t="n">
        <v>9000</v>
      </c>
      <c r="C28" s="9" t="inlineStr">
        <is>
          <t>예시. 가족 전체 세전 월 수입</t>
        </is>
      </c>
    </row>
    <row r="29" ht="30" customHeight="1">
      <c r="A29" s="7" t="inlineStr">
        <is>
          <t>월 주거비 ÷ 월 수입</t>
        </is>
      </c>
      <c r="B29" s="17">
        <f>IF(OR(B28="",B28=0,B22=""),"",B22/B28)</f>
        <v/>
      </c>
      <c r="C29" s="9" t="inlineStr">
        <is>
          <t>28% 이하면 여유, 36% 넘으면 빠듯해요 (대략적인 기준)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2026-10-13T12:35:33Z</dcterms:created>
  <dcterms:modified xsi:type="dcterms:W3CDTF">2026-10-13T12:35:33Z</dcterms:modified>
</cp:coreProperties>
</file>