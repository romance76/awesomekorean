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+&quot;$&quot;#,##0;-&quot;$&quot;#,##0;&quot;$&quot;0"/>
  </numFmts>
  <fonts count="8">
    <font>
      <name val="Calibri"/>
      <family val="2"/>
      <color theme="1"/>
      <sz val="11"/>
      <scheme val="minor"/>
    </font>
    <font>
      <name val="Malgun Gothic"/>
      <b val="1"/>
      <color rgb="00047857"/>
      <sz val="18"/>
    </font>
    <font>
      <name val="Malgun Gothic"/>
      <sz val="12"/>
    </font>
    <font>
      <name val="Malgun Gothic"/>
      <color rgb="006B7280"/>
      <sz val="11"/>
    </font>
    <font>
      <name val="Malgun Gothic"/>
      <b val="1"/>
      <sz val="12"/>
    </font>
    <font>
      <name val="Malgun Gothic"/>
      <color rgb="001D4ED8"/>
      <sz val="12"/>
    </font>
    <font>
      <name val="Malgun Gothic"/>
      <b val="1"/>
      <color rgb="00FFFFFF"/>
      <sz val="12"/>
    </font>
    <font>
      <name val="Malgun Gothic"/>
      <b val="1"/>
      <color rgb="00065F46"/>
      <sz val="13"/>
    </font>
  </fonts>
  <fills count="5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047857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5" fillId="2" borderId="1" applyAlignment="1" applyProtection="1" pivotButton="0" quotePrefix="0" xfId="0">
      <alignment vertical="center" wrapText="1"/>
      <protection locked="0" hidden="0"/>
    </xf>
    <xf numFmtId="0" fontId="3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9" fontId="5" fillId="2" borderId="1" applyAlignment="1" applyProtection="1" pivotButton="0" quotePrefix="0" xfId="0">
      <alignment vertical="center" wrapText="1"/>
      <protection locked="0" hidden="0"/>
    </xf>
    <xf numFmtId="164" fontId="7" fillId="4" borderId="1" applyAlignment="1" pivotButton="0" quotePrefix="0" xfId="0">
      <alignment vertical="center" wrapText="1"/>
    </xf>
    <xf numFmtId="165" fontId="7" fillId="4" borderId="1" applyAlignment="1" pivotButton="0" quotePrefix="0" xfId="0">
      <alignment vertical="center" wrapText="1"/>
    </xf>
    <xf numFmtId="166" fontId="7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9" fontId="7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8" customWidth="1" min="4" max="4"/>
    <col width="14" customWidth="1" min="5" max="5"/>
    <col width="18" customWidth="1" min="6" max="6"/>
    <col width="22" customWidth="1" min="7" max="7"/>
    <col width="46" customWidth="1" min="8" max="8"/>
  </cols>
  <sheetData>
    <row r="1" ht="34" customHeight="1">
      <c r="A1" s="1" t="inlineStr">
        <is>
          <t>50/30/20 가계부</t>
        </is>
      </c>
    </row>
    <row r="2" ht="40" customHeight="1">
      <c r="A2" s="2" t="inlineStr">
        <is>
          <t>한 달 수입(세금 낸 뒤 통장에 들어오는 돈)을 넣으면, 필수·선택·저축에 얼마씩 쓰면 좋은지 계산해 줘요. 지난달 쓴 돈을 "실제 쓴 돈"에 넣으면 목표와 비교해 줘요. 정답이 아니라 출발점이에요.</t>
        </is>
      </c>
    </row>
    <row r="3" ht="22" customHeight="1">
      <c r="A3" s="3" t="inlineStr">
        <is>
          <t>노란 칸 = 내가 직접 넣는 곳    초록 칸 = 자동 계산 (건드리지 않아도 돼요)</t>
        </is>
      </c>
    </row>
    <row r="5">
      <c r="A5" s="4" t="inlineStr">
        <is>
          <t>세후 월 수입 (USD)</t>
        </is>
      </c>
      <c r="B5" s="5" t="n"/>
      <c r="C5" s="6" t="n">
        <v>5000</v>
      </c>
      <c r="D5" s="7" t="inlineStr">
        <is>
          <t>← 예시 $5,000. 내 숫자로 바꾸세요</t>
        </is>
      </c>
      <c r="E5" s="8" t="n"/>
      <c r="F5" s="8" t="n"/>
      <c r="G5" s="8" t="n"/>
      <c r="H5" s="9" t="n"/>
    </row>
    <row r="7" ht="44" customHeight="1">
      <c r="A7" s="10" t="inlineStr">
        <is>
          <t>항목</t>
        </is>
      </c>
      <c r="B7" s="10" t="inlineStr">
        <is>
          <t>목표 비율</t>
        </is>
      </c>
      <c r="C7" s="10" t="inlineStr">
        <is>
          <t>목표 금액</t>
        </is>
      </c>
      <c r="D7" s="10" t="inlineStr">
        <is>
          <t>실제로 쓴 돈
(지난달)</t>
        </is>
      </c>
      <c r="E7" s="10" t="inlineStr">
        <is>
          <t>실제 비율</t>
        </is>
      </c>
      <c r="F7" s="10" t="inlineStr">
        <is>
          <t>남은 돈(+) /
넘친 돈(-)</t>
        </is>
      </c>
      <c r="G7" s="10" t="inlineStr">
        <is>
          <t>판정</t>
        </is>
      </c>
      <c r="H7" s="10" t="inlineStr">
        <is>
          <t>어떤 돈이 들어가나요?</t>
        </is>
      </c>
    </row>
    <row r="8" ht="36" customHeight="1">
      <c r="A8" s="4" t="inlineStr">
        <is>
          <t>필수 지출</t>
        </is>
      </c>
      <c r="B8" s="11" t="n">
        <v>0.5</v>
      </c>
      <c r="C8" s="12">
        <f>IF($C$5="","",$C$5*B8)</f>
        <v/>
      </c>
      <c r="D8" s="6" t="n"/>
      <c r="E8" s="13">
        <f>IF(OR(D8="",$C$5=""),"",D8/$C$5)</f>
        <v/>
      </c>
      <c r="F8" s="14">
        <f>IF(D8="","",C8-D8)</f>
        <v/>
      </c>
      <c r="G8" s="15">
        <f>IF(D8="","(숫자를 넣어 보세요)",IF(D8&lt;=C8,"목표 안이에요 👍","목표보다 많이 썼어요"))</f>
        <v/>
      </c>
      <c r="H8" s="7" t="inlineStr">
        <is>
          <t>월세·모기지, 식비, 보험, 교통, 전기·수도·통신, 빚 최소 상환액</t>
        </is>
      </c>
    </row>
    <row r="9" ht="36" customHeight="1">
      <c r="A9" s="4" t="inlineStr">
        <is>
          <t>선택 지출</t>
        </is>
      </c>
      <c r="B9" s="11" t="n">
        <v>0.3</v>
      </c>
      <c r="C9" s="12">
        <f>IF($C$5="","",$C$5*B9)</f>
        <v/>
      </c>
      <c r="D9" s="6" t="n"/>
      <c r="E9" s="13">
        <f>IF(OR(D9="",$C$5=""),"",D9/$C$5)</f>
        <v/>
      </c>
      <c r="F9" s="14">
        <f>IF(D9="","",C9-D9)</f>
        <v/>
      </c>
      <c r="G9" s="15">
        <f>IF(D9="","(숫자를 넣어 보세요)",IF(D9&lt;=C9,"목표 안이에요 👍","목표보다 많이 썼어요"))</f>
        <v/>
      </c>
      <c r="H9" s="7" t="inlineStr">
        <is>
          <t>외식, 취미·여가, 구독, 쇼핑, 여행</t>
        </is>
      </c>
    </row>
    <row r="10" ht="36" customHeight="1">
      <c r="A10" s="4" t="inlineStr">
        <is>
          <t>저축·빚 갚기</t>
        </is>
      </c>
      <c r="B10" s="11" t="n">
        <v>0.2</v>
      </c>
      <c r="C10" s="12">
        <f>IF($C$5="","",$C$5*B10)</f>
        <v/>
      </c>
      <c r="D10" s="6" t="n"/>
      <c r="E10" s="13">
        <f>IF(OR(D10="",$C$5=""),"",D10/$C$5)</f>
        <v/>
      </c>
      <c r="F10" s="14">
        <f>IF(D10="","",D10-C10)</f>
        <v/>
      </c>
      <c r="G10" s="15">
        <f>IF(D10="","(숫자를 넣어 보세요)",IF(D10&gt;=C10,"목표 달성 👍","목표보다 적게 모았어요"))</f>
        <v/>
      </c>
      <c r="H10" s="7" t="inlineStr">
        <is>
          <t>비상금, 은퇴 저축(401k·IRA), 투자, 빚 더 갚기</t>
        </is>
      </c>
    </row>
    <row r="11">
      <c r="A11" s="4" t="inlineStr">
        <is>
          <t>합계</t>
        </is>
      </c>
      <c r="B11" s="16">
        <f>SUM(B8:B10)</f>
        <v/>
      </c>
      <c r="C11" s="12">
        <f>IF($C$5="","",SUM(C8:C10))</f>
        <v/>
      </c>
      <c r="D11" s="12">
        <f>IF(COUNT(D8:D10)=0,"",SUM(D8:D10))</f>
        <v/>
      </c>
      <c r="E11" s="13">
        <f>IF(OR(D11="",$C$5=""),"",D11/$C$5)</f>
        <v/>
      </c>
      <c r="F11" s="14">
        <f>IF(D11="","",$C$5-D11)</f>
        <v/>
      </c>
      <c r="G11" s="7" t="inlineStr">
        <is>
          <t>← 수입에서 쓴 돈을 뺀 나머지(+면 아직 안 쓴 돈)</t>
        </is>
      </c>
      <c r="H11" s="9" t="n"/>
    </row>
    <row r="12" ht="36" customHeight="1">
      <c r="A12" s="3" t="inlineStr">
        <is>
          <t>비율(노란 칸)은 내 형편에 맞게 바꿔도 돼요. 예) 월세가 비싸면 필수 60% · 선택 20% · 저축 20%. 합계가 100%가 되게 맞추세요.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6">
    <mergeCell ref="A12:H12"/>
    <mergeCell ref="A3:H3"/>
    <mergeCell ref="A2:H2"/>
    <mergeCell ref="G11:H11"/>
    <mergeCell ref="D5:H5"/>
    <mergeCell ref="A1:H1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2026-10-13T12:35:33Z</dcterms:created>
  <dcterms:modified xsi:type="dcterms:W3CDTF">2026-10-13T12:35:33Z</dcterms:modified>
</cp:coreProperties>
</file>