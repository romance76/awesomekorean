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  <font>
      <name val="Malgun Gothic"/>
      <b val="1"/>
      <color rgb="00065F46"/>
      <sz val="13"/>
    </font>
    <font>
      <name val="Malgun Gothic"/>
      <b val="1"/>
      <sz val="12"/>
    </font>
  </fonts>
  <fills count="5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164" fontId="5" fillId="3" borderId="1" applyAlignment="1" applyProtection="1" pivotButton="0" quotePrefix="0" xfId="0">
      <alignment vertical="center" wrapText="1"/>
      <protection locked="0" hidden="0"/>
    </xf>
    <xf numFmtId="164" fontId="6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  <col width="14" customWidth="1" min="7" max="7"/>
    <col width="16" customWidth="1" min="8" max="8"/>
    <col width="30" customWidth="1" min="9" max="9"/>
  </cols>
  <sheetData>
    <row r="1" ht="34" customHeight="1">
      <c r="A1" s="1" t="inlineStr">
        <is>
          <t>카드 혜택 사용 기록표</t>
        </is>
      </c>
    </row>
    <row r="2" ht="40" customHeight="1">
      <c r="A2" s="2" t="inlineStr">
        <is>
          <t>연회비 카드의 크레딧(매달·분기·연 단위 혜택)을 안 쓰고 놓치면 손해예요. 혜택마다 한 줄씩 적고, 쓴 뒤에 "사용 여부"를 바꿔 두세요. 맨 아래에서 연회비를 넘겼는지 알려 줘요.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8" customHeight="1">
      <c r="A5" s="4" t="inlineStr">
        <is>
          <t>혜택 이름</t>
        </is>
      </c>
      <c r="B5" s="4" t="inlineStr">
        <is>
          <t>카드</t>
        </is>
      </c>
      <c r="C5" s="4" t="inlineStr">
        <is>
          <t>주기</t>
        </is>
      </c>
      <c r="D5" s="4" t="inlineStr">
        <is>
          <t>1회 금액
(USD)</t>
        </is>
      </c>
      <c r="E5" s="4" t="inlineStr">
        <is>
          <t>1년에 받을 수
있는 금액</t>
        </is>
      </c>
      <c r="F5" s="4" t="inlineStr">
        <is>
          <t>사용 기한</t>
        </is>
      </c>
      <c r="G5" s="4" t="inlineStr">
        <is>
          <t>사용했나요?</t>
        </is>
      </c>
      <c r="H5" s="4" t="inlineStr">
        <is>
          <t>실제로 쓴 금액
(USD)</t>
        </is>
      </c>
      <c r="I5" s="4" t="inlineStr">
        <is>
          <t>메모</t>
        </is>
      </c>
    </row>
    <row r="6">
      <c r="A6" s="5" t="inlineStr">
        <is>
          <t>예: 외식 크레딧</t>
        </is>
      </c>
      <c r="B6" s="5" t="inlineStr">
        <is>
          <t>카드 A</t>
        </is>
      </c>
      <c r="C6" s="6" t="inlineStr">
        <is>
          <t>월</t>
        </is>
      </c>
      <c r="D6" s="7" t="n">
        <v>10</v>
      </c>
      <c r="E6" s="8">
        <f>IF(OR(D6="",C6=""),"",D6*IF(C6="월",12,IF(C6="분기",4,IF(C6="반기",2,1))))</f>
        <v/>
      </c>
      <c r="F6" s="5" t="inlineStr">
        <is>
          <t>매월 말</t>
        </is>
      </c>
      <c r="G6" s="6" t="inlineStr">
        <is>
          <t>예</t>
        </is>
      </c>
      <c r="H6" s="7" t="n">
        <v>10</v>
      </c>
      <c r="I6" s="5" t="inlineStr">
        <is>
          <t>앱에서 먼저 등록해야 해요</t>
        </is>
      </c>
    </row>
    <row r="7">
      <c r="A7" s="5" t="inlineStr">
        <is>
          <t>예: 항공 수수료 크레딧</t>
        </is>
      </c>
      <c r="B7" s="5" t="inlineStr">
        <is>
          <t>카드 A</t>
        </is>
      </c>
      <c r="C7" s="6" t="inlineStr">
        <is>
          <t>연</t>
        </is>
      </c>
      <c r="D7" s="7" t="n">
        <v>200</v>
      </c>
      <c r="E7" s="8">
        <f>IF(OR(D7="",C7=""),"",D7*IF(C7="월",12,IF(C7="분기",4,IF(C7="반기",2,1))))</f>
        <v/>
      </c>
      <c r="F7" s="5" t="inlineStr">
        <is>
          <t>12월 31일</t>
        </is>
      </c>
      <c r="G7" s="6" t="inlineStr">
        <is>
          <t>아니오</t>
        </is>
      </c>
      <c r="H7" s="7" t="n">
        <v>0</v>
      </c>
      <c r="I7" s="5" t="inlineStr"/>
    </row>
    <row r="8">
      <c r="A8" s="5" t="n"/>
      <c r="B8" s="5" t="n"/>
      <c r="C8" s="6" t="n"/>
      <c r="D8" s="7" t="n"/>
      <c r="E8" s="8">
        <f>IF(OR(D8="",C8=""),"",D8*IF(C8="월",12,IF(C8="분기",4,IF(C8="반기",2,1))))</f>
        <v/>
      </c>
      <c r="F8" s="5" t="n"/>
      <c r="G8" s="6" t="n"/>
      <c r="H8" s="7" t="n"/>
      <c r="I8" s="5" t="n"/>
    </row>
    <row r="9">
      <c r="A9" s="5" t="n"/>
      <c r="B9" s="5" t="n"/>
      <c r="C9" s="6" t="n"/>
      <c r="D9" s="7" t="n"/>
      <c r="E9" s="8">
        <f>IF(OR(D9="",C9=""),"",D9*IF(C9="월",12,IF(C9="분기",4,IF(C9="반기",2,1))))</f>
        <v/>
      </c>
      <c r="F9" s="5" t="n"/>
      <c r="G9" s="6" t="n"/>
      <c r="H9" s="7" t="n"/>
      <c r="I9" s="5" t="n"/>
    </row>
    <row r="10">
      <c r="A10" s="5" t="n"/>
      <c r="B10" s="5" t="n"/>
      <c r="C10" s="6" t="n"/>
      <c r="D10" s="7" t="n"/>
      <c r="E10" s="8">
        <f>IF(OR(D10="",C10=""),"",D10*IF(C10="월",12,IF(C10="분기",4,IF(C10="반기",2,1))))</f>
        <v/>
      </c>
      <c r="F10" s="5" t="n"/>
      <c r="G10" s="6" t="n"/>
      <c r="H10" s="7" t="n"/>
      <c r="I10" s="5" t="n"/>
    </row>
    <row r="11">
      <c r="A11" s="5" t="n"/>
      <c r="B11" s="5" t="n"/>
      <c r="C11" s="6" t="n"/>
      <c r="D11" s="7" t="n"/>
      <c r="E11" s="8">
        <f>IF(OR(D11="",C11=""),"",D11*IF(C11="월",12,IF(C11="분기",4,IF(C11="반기",2,1))))</f>
        <v/>
      </c>
      <c r="F11" s="5" t="n"/>
      <c r="G11" s="6" t="n"/>
      <c r="H11" s="7" t="n"/>
      <c r="I11" s="5" t="n"/>
    </row>
    <row r="12">
      <c r="A12" s="5" t="n"/>
      <c r="B12" s="5" t="n"/>
      <c r="C12" s="6" t="n"/>
      <c r="D12" s="7" t="n"/>
      <c r="E12" s="8">
        <f>IF(OR(D12="",C12=""),"",D12*IF(C12="월",12,IF(C12="분기",4,IF(C12="반기",2,1))))</f>
        <v/>
      </c>
      <c r="F12" s="5" t="n"/>
      <c r="G12" s="6" t="n"/>
      <c r="H12" s="7" t="n"/>
      <c r="I12" s="5" t="n"/>
    </row>
    <row r="13">
      <c r="A13" s="5" t="n"/>
      <c r="B13" s="5" t="n"/>
      <c r="C13" s="6" t="n"/>
      <c r="D13" s="7" t="n"/>
      <c r="E13" s="8">
        <f>IF(OR(D13="",C13=""),"",D13*IF(C13="월",12,IF(C13="분기",4,IF(C13="반기",2,1))))</f>
        <v/>
      </c>
      <c r="F13" s="5" t="n"/>
      <c r="G13" s="6" t="n"/>
      <c r="H13" s="7" t="n"/>
      <c r="I13" s="5" t="n"/>
    </row>
    <row r="14">
      <c r="A14" s="5" t="n"/>
      <c r="B14" s="5" t="n"/>
      <c r="C14" s="6" t="n"/>
      <c r="D14" s="7" t="n"/>
      <c r="E14" s="8">
        <f>IF(OR(D14="",C14=""),"",D14*IF(C14="월",12,IF(C14="분기",4,IF(C14="반기",2,1))))</f>
        <v/>
      </c>
      <c r="F14" s="5" t="n"/>
      <c r="G14" s="6" t="n"/>
      <c r="H14" s="7" t="n"/>
      <c r="I14" s="5" t="n"/>
    </row>
    <row r="15">
      <c r="A15" s="5" t="n"/>
      <c r="B15" s="5" t="n"/>
      <c r="C15" s="6" t="n"/>
      <c r="D15" s="7" t="n"/>
      <c r="E15" s="8">
        <f>IF(OR(D15="",C15=""),"",D15*IF(C15="월",12,IF(C15="분기",4,IF(C15="반기",2,1))))</f>
        <v/>
      </c>
      <c r="F15" s="5" t="n"/>
      <c r="G15" s="6" t="n"/>
      <c r="H15" s="7" t="n"/>
      <c r="I15" s="5" t="n"/>
    </row>
    <row r="16">
      <c r="A16" s="5" t="n"/>
      <c r="B16" s="5" t="n"/>
      <c r="C16" s="6" t="n"/>
      <c r="D16" s="7" t="n"/>
      <c r="E16" s="8">
        <f>IF(OR(D16="",C16=""),"",D16*IF(C16="월",12,IF(C16="분기",4,IF(C16="반기",2,1))))</f>
        <v/>
      </c>
      <c r="F16" s="5" t="n"/>
      <c r="G16" s="6" t="n"/>
      <c r="H16" s="7" t="n"/>
      <c r="I16" s="5" t="n"/>
    </row>
    <row r="17">
      <c r="A17" s="5" t="n"/>
      <c r="B17" s="5" t="n"/>
      <c r="C17" s="6" t="n"/>
      <c r="D17" s="7" t="n"/>
      <c r="E17" s="8">
        <f>IF(OR(D17="",C17=""),"",D17*IF(C17="월",12,IF(C17="분기",4,IF(C17="반기",2,1))))</f>
        <v/>
      </c>
      <c r="F17" s="5" t="n"/>
      <c r="G17" s="6" t="n"/>
      <c r="H17" s="7" t="n"/>
      <c r="I17" s="5" t="n"/>
    </row>
    <row r="19">
      <c r="A19" s="9" t="inlineStr">
        <is>
          <t>1년에 받을 수 있는 혜택 합계</t>
        </is>
      </c>
      <c r="B19" s="10" t="n"/>
      <c r="C19" s="10" t="n"/>
      <c r="D19" s="10" t="n"/>
      <c r="E19" s="8">
        <f>SUM(E6:E17)</f>
        <v/>
      </c>
    </row>
    <row r="20">
      <c r="A20" s="9" t="inlineStr">
        <is>
          <t>실제로 쓴 금액 합계</t>
        </is>
      </c>
      <c r="H20" s="8">
        <f>SUM(H6:H17)</f>
        <v/>
      </c>
    </row>
    <row r="21">
      <c r="A21" s="9" t="inlineStr">
        <is>
          <t>이 카드의 1년 연회비 (USD)</t>
        </is>
      </c>
      <c r="D21" s="7" t="n">
        <v>395</v>
      </c>
      <c r="E21" s="11" t="inlineStr">
        <is>
          <t>← 예시 $395. 내 카드 연회비로 바꾸세요</t>
        </is>
      </c>
      <c r="F21" s="12" t="n"/>
      <c r="G21" s="12" t="n"/>
      <c r="H21" s="12" t="n"/>
      <c r="I21" s="13" t="n"/>
    </row>
    <row r="22">
      <c r="A22" s="9" t="inlineStr">
        <is>
          <t>결과</t>
        </is>
      </c>
      <c r="B22" s="14">
        <f>IF(H20&gt;=D21,"연회비를 넘게 썼어요 👍 (+$"&amp;TEXT(H20-D21,"#,##0")&amp;")","아직 연회비보다 $"&amp;TEXT(D21-H20,"#,##0")&amp;" 덜 썼어요")</f>
        <v/>
      </c>
      <c r="C22" s="12" t="n"/>
      <c r="D22" s="12" t="n"/>
      <c r="E22" s="12" t="n"/>
      <c r="F22" s="12" t="n"/>
      <c r="G22" s="12" t="n"/>
      <c r="H22" s="12" t="n"/>
      <c r="I22" s="13" t="n"/>
    </row>
    <row r="23" ht="36" customHeight="1">
      <c r="A23" s="3" t="inlineStr">
        <is>
          <t>※ 혜택 내용과 금액은 카드사가 수시로 바꿔요. 카드사 앱·사이트의 최신 안내대로 적고, 사용 기한 한 달 전에 휴대폰 알림을 걸어 두세요. "예:" 로 시작하는 두 줄은 예시니 지우고 쓰세요.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6">
    <mergeCell ref="E21:I21"/>
    <mergeCell ref="A2:I2"/>
    <mergeCell ref="A1:I1"/>
    <mergeCell ref="A23:I23"/>
    <mergeCell ref="B22:I22"/>
    <mergeCell ref="A3:I3"/>
  </mergeCells>
  <dataValidations count="2">
    <dataValidation sqref="C6:C17" showDropDown="0" showInputMessage="0" showErrorMessage="0" allowBlank="1" errorTitle="입력 오류" error="목록에서 골라 주세요" type="list">
      <formula1>"월,분기,반기,연"</formula1>
    </dataValidation>
    <dataValidation sqref="G6:G17" showDropDown="0" showInputMessage="0" showErrorMessage="0" allowBlank="1" errorTitle="입력 오류" error="목록에서 골라 주세요" type="list">
      <formula1>"예,아니오"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