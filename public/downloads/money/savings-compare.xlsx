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name val="Malgun Gothic"/>
      <b val="1"/>
      <color rgb="00047857"/>
      <sz val="18"/>
    </font>
    <font>
      <name val="Malgun Gothic"/>
      <sz val="12"/>
    </font>
    <font>
      <name val="Malgun Gothic"/>
      <color rgb="006B7280"/>
      <sz val="11"/>
    </font>
    <font>
      <name val="Malgun Gothic"/>
      <b val="1"/>
      <color rgb="00FFFFFF"/>
      <sz val="12"/>
    </font>
    <font>
      <name val="Malgun Gothic"/>
      <color rgb="001D4ED8"/>
      <sz val="12"/>
    </font>
    <font>
      <name val="Malgun Gothic"/>
      <b val="1"/>
      <color rgb="00065F46"/>
      <sz val="13"/>
    </font>
  </fonts>
  <fills count="5">
    <fill>
      <patternFill/>
    </fill>
    <fill>
      <patternFill patternType="gray125"/>
    </fill>
    <fill>
      <patternFill patternType="solid">
        <fgColor rgb="00047857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applyProtection="1" pivotButton="0" quotePrefix="0" xfId="0">
      <alignment vertical="center" wrapText="1"/>
      <protection locked="0" hidden="0"/>
    </xf>
    <xf numFmtId="10" fontId="5" fillId="3" borderId="1" applyAlignment="1" applyProtection="1" pivotButton="0" quotePrefix="0" xfId="0">
      <alignment vertical="center" wrapText="1"/>
      <protection locked="0" hidden="0"/>
    </xf>
    <xf numFmtId="164" fontId="5" fillId="3" borderId="1" applyAlignment="1" applyProtection="1" pivotButton="0" quotePrefix="0" xfId="0">
      <alignment vertical="center" wrapText="1"/>
      <protection locked="0" hidden="0"/>
    </xf>
    <xf numFmtId="0" fontId="5" fillId="3" borderId="1" applyAlignment="1" applyProtection="1" pivotButton="0" quotePrefix="0" xfId="0">
      <alignment horizontal="center" vertical="center" wrapText="1"/>
      <protection locked="0" hidden="0"/>
    </xf>
    <xf numFmtId="164" fontId="6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6" customWidth="1" min="4" max="4"/>
    <col width="12" customWidth="1" min="5" max="5"/>
    <col width="22" customWidth="1" min="6" max="6"/>
    <col width="18" customWidth="1" min="7" max="7"/>
    <col width="16" customWidth="1" min="8" max="8"/>
    <col width="18" customWidth="1" min="9" max="9"/>
    <col width="12" customWidth="1" min="10" max="10"/>
  </cols>
  <sheetData>
    <row r="1" ht="34" customHeight="1">
      <c r="A1" s="1" t="inlineStr">
        <is>
          <t>예금·CD 이자 비교표</t>
        </is>
      </c>
    </row>
    <row r="2" ht="40" customHeight="1">
      <c r="A2" s="2" t="inlineStr">
        <is>
          <t>은행마다 이율(APY)이 달라요. 넣을 돈과 이율을 넣으면 1년 이자가 나오고, 같은 돈일 때 어디가 많이 주는지 순서를 알려 줘요. 이율은 매일 바뀌니 은행 사이트의 오늘 숫자로 바꾸세요.</t>
        </is>
      </c>
    </row>
    <row r="3" ht="22" customHeight="1">
      <c r="A3" s="3" t="inlineStr">
        <is>
          <t>노란 칸 = 내가 직접 넣는 곳    초록 칸 = 자동 계산 (건드리지 않아도 돼요)</t>
        </is>
      </c>
    </row>
    <row r="5" ht="48" customHeight="1">
      <c r="A5" s="4" t="inlineStr">
        <is>
          <t>상품</t>
        </is>
      </c>
      <c r="B5" s="4" t="inlineStr">
        <is>
          <t>금융기관</t>
        </is>
      </c>
      <c r="C5" s="4" t="inlineStr">
        <is>
          <t>APY
(연 이율)</t>
        </is>
      </c>
      <c r="D5" s="4" t="inlineStr">
        <is>
          <t>최소 예치금</t>
        </is>
      </c>
      <c r="E5" s="4" t="inlineStr">
        <is>
          <t>기간
(개월)</t>
        </is>
      </c>
      <c r="F5" s="4" t="inlineStr">
        <is>
          <t>조기 인출 벌칙</t>
        </is>
      </c>
      <c r="G5" s="4" t="inlineStr">
        <is>
          <t>예금자 보호
(FDIC/NCUA)</t>
        </is>
      </c>
      <c r="H5" s="4" t="inlineStr">
        <is>
          <t>넣을 돈 (USD)</t>
        </is>
      </c>
      <c r="I5" s="4" t="inlineStr">
        <is>
          <t>1년 이자 (대략)</t>
        </is>
      </c>
      <c r="J5" s="4" t="inlineStr">
        <is>
          <t>순서</t>
        </is>
      </c>
    </row>
    <row r="6">
      <c r="A6" s="5" t="inlineStr">
        <is>
          <t>예: 고금리 저축(HYSA)</t>
        </is>
      </c>
      <c r="B6" s="5" t="inlineStr">
        <is>
          <t>예: A은행</t>
        </is>
      </c>
      <c r="C6" s="6" t="n">
        <v>0.04</v>
      </c>
      <c r="D6" s="7" t="n">
        <v>0</v>
      </c>
      <c r="E6" s="8" t="inlineStr">
        <is>
          <t>없음</t>
        </is>
      </c>
      <c r="F6" s="5" t="inlineStr">
        <is>
          <t>없음</t>
        </is>
      </c>
      <c r="G6" s="8" t="inlineStr">
        <is>
          <t>예</t>
        </is>
      </c>
      <c r="H6" s="7" t="n">
        <v>10000</v>
      </c>
      <c r="I6" s="9">
        <f>IF(OR(C6="",H6=""),"",H6*C6)</f>
        <v/>
      </c>
      <c r="J6" s="10">
        <f>IF(I6="","",RANK(I6,$I$6:$I$15))</f>
        <v/>
      </c>
    </row>
    <row r="7">
      <c r="A7" s="5" t="inlineStr">
        <is>
          <t>예: CD</t>
        </is>
      </c>
      <c r="B7" s="5" t="inlineStr">
        <is>
          <t>예: B은행</t>
        </is>
      </c>
      <c r="C7" s="6" t="n">
        <v>0.045</v>
      </c>
      <c r="D7" s="7" t="n">
        <v>500</v>
      </c>
      <c r="E7" s="8" t="n">
        <v>12</v>
      </c>
      <c r="F7" s="5" t="inlineStr">
        <is>
          <t>있음(이자 일부)</t>
        </is>
      </c>
      <c r="G7" s="8" t="inlineStr">
        <is>
          <t>예</t>
        </is>
      </c>
      <c r="H7" s="7" t="n">
        <v>10000</v>
      </c>
      <c r="I7" s="9">
        <f>IF(OR(C7="",H7=""),"",H7*C7)</f>
        <v/>
      </c>
      <c r="J7" s="10">
        <f>IF(I7="","",RANK(I7,$I$6:$I$15))</f>
        <v/>
      </c>
    </row>
    <row r="8">
      <c r="A8" s="5" t="n"/>
      <c r="B8" s="5" t="n"/>
      <c r="C8" s="6" t="n"/>
      <c r="D8" s="7" t="n"/>
      <c r="E8" s="8" t="n"/>
      <c r="F8" s="5" t="n"/>
      <c r="G8" s="8" t="n"/>
      <c r="H8" s="7" t="n"/>
      <c r="I8" s="9">
        <f>IF(OR(C8="",H8=""),"",H8*C8)</f>
        <v/>
      </c>
      <c r="J8" s="10">
        <f>IF(I8="","",RANK(I8,$I$6:$I$15))</f>
        <v/>
      </c>
    </row>
    <row r="9">
      <c r="A9" s="5" t="n"/>
      <c r="B9" s="5" t="n"/>
      <c r="C9" s="6" t="n"/>
      <c r="D9" s="7" t="n"/>
      <c r="E9" s="8" t="n"/>
      <c r="F9" s="5" t="n"/>
      <c r="G9" s="8" t="n"/>
      <c r="H9" s="7" t="n"/>
      <c r="I9" s="9">
        <f>IF(OR(C9="",H9=""),"",H9*C9)</f>
        <v/>
      </c>
      <c r="J9" s="10">
        <f>IF(I9="","",RANK(I9,$I$6:$I$15))</f>
        <v/>
      </c>
    </row>
    <row r="10">
      <c r="A10" s="5" t="n"/>
      <c r="B10" s="5" t="n"/>
      <c r="C10" s="6" t="n"/>
      <c r="D10" s="7" t="n"/>
      <c r="E10" s="8" t="n"/>
      <c r="F10" s="5" t="n"/>
      <c r="G10" s="8" t="n"/>
      <c r="H10" s="7" t="n"/>
      <c r="I10" s="9">
        <f>IF(OR(C10="",H10=""),"",H10*C10)</f>
        <v/>
      </c>
      <c r="J10" s="10">
        <f>IF(I10="","",RANK(I10,$I$6:$I$15))</f>
        <v/>
      </c>
    </row>
    <row r="11">
      <c r="A11" s="5" t="n"/>
      <c r="B11" s="5" t="n"/>
      <c r="C11" s="6" t="n"/>
      <c r="D11" s="7" t="n"/>
      <c r="E11" s="8" t="n"/>
      <c r="F11" s="5" t="n"/>
      <c r="G11" s="8" t="n"/>
      <c r="H11" s="7" t="n"/>
      <c r="I11" s="9">
        <f>IF(OR(C11="",H11=""),"",H11*C11)</f>
        <v/>
      </c>
      <c r="J11" s="10">
        <f>IF(I11="","",RANK(I11,$I$6:$I$15))</f>
        <v/>
      </c>
    </row>
    <row r="12">
      <c r="A12" s="5" t="n"/>
      <c r="B12" s="5" t="n"/>
      <c r="C12" s="6" t="n"/>
      <c r="D12" s="7" t="n"/>
      <c r="E12" s="8" t="n"/>
      <c r="F12" s="5" t="n"/>
      <c r="G12" s="8" t="n"/>
      <c r="H12" s="7" t="n"/>
      <c r="I12" s="9">
        <f>IF(OR(C12="",H12=""),"",H12*C12)</f>
        <v/>
      </c>
      <c r="J12" s="10">
        <f>IF(I12="","",RANK(I12,$I$6:$I$15))</f>
        <v/>
      </c>
    </row>
    <row r="13">
      <c r="A13" s="5" t="n"/>
      <c r="B13" s="5" t="n"/>
      <c r="C13" s="6" t="n"/>
      <c r="D13" s="7" t="n"/>
      <c r="E13" s="8" t="n"/>
      <c r="F13" s="5" t="n"/>
      <c r="G13" s="8" t="n"/>
      <c r="H13" s="7" t="n"/>
      <c r="I13" s="9">
        <f>IF(OR(C13="",H13=""),"",H13*C13)</f>
        <v/>
      </c>
      <c r="J13" s="10">
        <f>IF(I13="","",RANK(I13,$I$6:$I$15))</f>
        <v/>
      </c>
    </row>
    <row r="14">
      <c r="A14" s="5" t="n"/>
      <c r="B14" s="5" t="n"/>
      <c r="C14" s="6" t="n"/>
      <c r="D14" s="7" t="n"/>
      <c r="E14" s="8" t="n"/>
      <c r="F14" s="5" t="n"/>
      <c r="G14" s="8" t="n"/>
      <c r="H14" s="7" t="n"/>
      <c r="I14" s="9">
        <f>IF(OR(C14="",H14=""),"",H14*C14)</f>
        <v/>
      </c>
      <c r="J14" s="10">
        <f>IF(I14="","",RANK(I14,$I$6:$I$15))</f>
        <v/>
      </c>
    </row>
    <row r="15">
      <c r="A15" s="5" t="n"/>
      <c r="B15" s="5" t="n"/>
      <c r="C15" s="6" t="n"/>
      <c r="D15" s="7" t="n"/>
      <c r="E15" s="8" t="n"/>
      <c r="F15" s="5" t="n"/>
      <c r="G15" s="8" t="n"/>
      <c r="H15" s="7" t="n"/>
      <c r="I15" s="9">
        <f>IF(OR(C15="",H15=""),"",H15*C15)</f>
        <v/>
      </c>
      <c r="J15" s="10">
        <f>IF(I15="","",RANK(I15,$I$6:$I$15))</f>
        <v/>
      </c>
    </row>
    <row r="17" ht="36" customHeight="1">
      <c r="A17" s="3" t="inlineStr">
        <is>
          <t>※ 위 숫자는 모두 예시예요. 1년 이자는 1년 동안 이율이 그대로라는 단순 계산이에요. 한 은행당 FDIC 보호는 보통 한도 $250,000 이니 큰돈은 나눠 넣는 것도 방법이에요. 이자에도 세금이 붙을 수 있어요.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4">
    <mergeCell ref="A17:J17"/>
    <mergeCell ref="A1:J1"/>
    <mergeCell ref="A3:J3"/>
    <mergeCell ref="A2:J2"/>
  </mergeCells>
  <dataValidations count="1">
    <dataValidation sqref="G6:G15" showDropDown="0" showInputMessage="0" showErrorMessage="0" allowBlank="1" errorTitle="입력 오류" error="목록에서 골라 주세요" type="list">
      <formula1>"예,아니오,모름"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2026-10-13T12:35:33Z</dcterms:created>
  <dcterms:modified xsi:type="dcterms:W3CDTF">2026-10-13T12:35:33Z</dcterms:modified>
</cp:coreProperties>
</file>