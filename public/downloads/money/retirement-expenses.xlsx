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9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b val="1"/>
      <sz val="12"/>
    </font>
    <font>
      <name val="Malgun Gothic"/>
      <color rgb="001D4ED8"/>
      <sz val="12"/>
    </font>
    <font>
      <name val="Malgun Gothic"/>
      <b val="1"/>
      <color rgb="00065F46"/>
      <sz val="13"/>
    </font>
    <font>
      <name val="Malgun Gothic"/>
      <b val="1"/>
      <color rgb="00065F46"/>
      <sz val="14"/>
    </font>
  </fonts>
  <fills count="6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4" fontId="6" fillId="3" borderId="1" applyAlignment="1" applyProtection="1" pivotButton="0" quotePrefix="0" xfId="0">
      <alignment vertical="center" wrapText="1"/>
      <protection locked="0" hidden="0"/>
    </xf>
    <xf numFmtId="0" fontId="3" fillId="0" borderId="1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0" fontId="5" fillId="5" borderId="1" pivotButton="0" quotePrefix="0" xfId="0"/>
    <xf numFmtId="0" fontId="0" fillId="5" borderId="1" pivotButton="0" quotePrefix="0" xfId="0"/>
    <xf numFmtId="0" fontId="2" fillId="0" borderId="1" applyAlignment="1" pivotButton="0" quotePrefix="0" xfId="0">
      <alignment vertical="center" wrapText="1"/>
    </xf>
    <xf numFmtId="165" fontId="6" fillId="3" borderId="1" applyAlignment="1" applyProtection="1" pivotButton="0" quotePrefix="0" xfId="0">
      <alignment vertical="center" wrapText="1"/>
      <protection locked="0" hidden="0"/>
    </xf>
    <xf numFmtId="164" fontId="8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50" customWidth="1" min="4" max="4"/>
  </cols>
  <sheetData>
    <row r="1" ht="34" customHeight="1">
      <c r="A1" s="1" t="inlineStr">
        <is>
          <t>은퇴 후 생활비 계획표</t>
        </is>
      </c>
    </row>
    <row r="2" ht="40" customHeight="1">
      <c r="A2" s="2" t="inlineStr">
        <is>
          <t>지금 쓰는 돈과 은퇴 후 쓸 돈을 항목별로 적으면, 사회보장연금(Social Security)으로 부족한 돈과 대략 얼마를 모아야 하는지 계산해요.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30" customHeight="1">
      <c r="A5" s="4" t="inlineStr">
        <is>
          <t>한 달 지출 항목 (USD)</t>
        </is>
      </c>
      <c r="B5" s="4" t="inlineStr">
        <is>
          <t>지금</t>
        </is>
      </c>
      <c r="C5" s="4" t="inlineStr">
        <is>
          <t>은퇴 후 예상</t>
        </is>
      </c>
      <c r="D5" s="4" t="inlineStr">
        <is>
          <t>참고</t>
        </is>
      </c>
    </row>
    <row r="6" ht="28" customHeight="1">
      <c r="A6" s="5" t="inlineStr">
        <is>
          <t>주거 (모기지·월세·재산세)</t>
        </is>
      </c>
      <c r="B6" s="6" t="n"/>
      <c r="C6" s="6" t="n"/>
      <c r="D6" s="7" t="inlineStr">
        <is>
          <t>대출을 다 갚으면 크게 줄어요</t>
        </is>
      </c>
    </row>
    <row r="7" ht="28" customHeight="1">
      <c r="A7" s="5" t="inlineStr">
        <is>
          <t>식비</t>
        </is>
      </c>
      <c r="B7" s="6" t="n"/>
      <c r="C7" s="6" t="n"/>
      <c r="D7" s="7" t="inlineStr"/>
    </row>
    <row r="8" ht="28" customHeight="1">
      <c r="A8" s="5" t="inlineStr">
        <is>
          <t>의료비·보험 (Medicare 보험료 포함)</t>
        </is>
      </c>
      <c r="B8" s="6" t="n"/>
      <c r="C8" s="6" t="n"/>
      <c r="D8" s="7" t="inlineStr">
        <is>
          <t>은퇴 후 오히려 늘 수 있어요</t>
        </is>
      </c>
    </row>
    <row r="9" ht="28" customHeight="1">
      <c r="A9" s="5" t="inlineStr">
        <is>
          <t>교통·차량</t>
        </is>
      </c>
      <c r="B9" s="6" t="n"/>
      <c r="C9" s="6" t="n"/>
      <c r="D9" s="7" t="inlineStr"/>
    </row>
    <row r="10" ht="28" customHeight="1">
      <c r="A10" s="5" t="inlineStr">
        <is>
          <t>공과금·통신</t>
        </is>
      </c>
      <c r="B10" s="6" t="n"/>
      <c r="C10" s="6" t="n"/>
      <c r="D10" s="7" t="inlineStr"/>
    </row>
    <row r="11" ht="28" customHeight="1">
      <c r="A11" s="5" t="inlineStr">
        <is>
          <t>여가·여행</t>
        </is>
      </c>
      <c r="B11" s="6" t="n"/>
      <c r="C11" s="6" t="n"/>
      <c r="D11" s="7" t="inlineStr">
        <is>
          <t>은퇴 직후 몇 년은 늘기도 해요</t>
        </is>
      </c>
    </row>
    <row r="12" ht="28" customHeight="1">
      <c r="A12" s="5" t="inlineStr">
        <is>
          <t>가족 지원·선물</t>
        </is>
      </c>
      <c r="B12" s="6" t="n"/>
      <c r="C12" s="6" t="n"/>
      <c r="D12" s="7" t="inlineStr"/>
    </row>
    <row r="13" ht="28" customHeight="1">
      <c r="A13" s="5" t="inlineStr">
        <is>
          <t>세금</t>
        </is>
      </c>
      <c r="B13" s="6" t="n"/>
      <c r="C13" s="6" t="n"/>
      <c r="D13" s="7" t="inlineStr">
        <is>
          <t>Social Security·인출금에 세금이 붙을 수 있어요</t>
        </is>
      </c>
    </row>
    <row r="14" ht="28" customHeight="1">
      <c r="A14" s="5" t="inlineStr">
        <is>
          <t>기타</t>
        </is>
      </c>
      <c r="B14" s="6" t="n"/>
      <c r="C14" s="6" t="n"/>
      <c r="D14" s="7" t="inlineStr"/>
    </row>
    <row r="15">
      <c r="A15" s="5" t="inlineStr">
        <is>
          <t>월 합계</t>
        </is>
      </c>
      <c r="B15" s="8">
        <f>SUM(B6:B14)</f>
        <v/>
      </c>
      <c r="C15" s="8">
        <f>SUM(C6:C14)</f>
        <v/>
      </c>
      <c r="D15" s="7" t="inlineStr"/>
    </row>
    <row r="16">
      <c r="A16" s="5" t="inlineStr">
        <is>
          <t>1년 합계</t>
        </is>
      </c>
      <c r="B16" s="8">
        <f>B15*12</f>
        <v/>
      </c>
      <c r="C16" s="8">
        <f>C15*12</f>
        <v/>
      </c>
      <c r="D16" s="7" t="inlineStr"/>
    </row>
    <row r="17" ht="26" customHeight="1">
      <c r="A17" s="9" t="inlineStr">
        <is>
          <t>나라에서 받는 돈과 부족한 돈</t>
        </is>
      </c>
      <c r="B17" s="10" t="n"/>
      <c r="C17" s="10" t="n"/>
      <c r="D17" s="10" t="n"/>
    </row>
    <row r="18">
      <c r="A18" s="5" t="inlineStr">
        <is>
          <t>내 Social Security 예상 월 수령액 (USD)</t>
        </is>
      </c>
      <c r="B18" s="11" t="n"/>
      <c r="C18" s="6" t="n"/>
      <c r="D18" s="7" t="inlineStr">
        <is>
          <t>ssa.gov 의 "my Social Security" 계정에서 확인. 부부면 둘의 합</t>
        </is>
      </c>
    </row>
    <row r="19">
      <c r="A19" s="5" t="inlineStr">
        <is>
          <t>그 밖의 월 수입 (연금·임대·일 등, USD)</t>
        </is>
      </c>
      <c r="B19" s="11" t="n"/>
      <c r="C19" s="6" t="n"/>
      <c r="D19" s="7" t="inlineStr"/>
    </row>
    <row r="20">
      <c r="A20" s="5" t="inlineStr">
        <is>
          <t>부족한 월 생활비 (USD)</t>
        </is>
      </c>
      <c r="B20" s="11" t="n"/>
      <c r="C20" s="8">
        <f>MAX(0,C15-N(C18)-N(C19))</f>
        <v/>
      </c>
      <c r="D20" s="7" t="inlineStr">
        <is>
          <t>은퇴 후 예상 지출 − 받는 돈</t>
        </is>
      </c>
    </row>
    <row r="21">
      <c r="A21" s="5" t="inlineStr">
        <is>
          <t>부족한 1년 금액 (USD)</t>
        </is>
      </c>
      <c r="B21" s="11" t="n"/>
      <c r="C21" s="8">
        <f>C20*12</f>
        <v/>
      </c>
      <c r="D21" s="7" t="inlineStr">
        <is>
          <t>저축·투자 인출로 메워야 할 금액</t>
        </is>
      </c>
    </row>
    <row r="22">
      <c r="A22" s="5" t="inlineStr">
        <is>
          <t>1년에 꺼내 쓸 비율 (인출률)</t>
        </is>
      </c>
      <c r="B22" s="11" t="n"/>
      <c r="C22" s="12" t="n">
        <v>0.04</v>
      </c>
      <c r="D22" s="7" t="inlineStr">
        <is>
          <t>흔히 쓰는 "4% 규칙"은 어림값일 뿐 보장이 아니에요. 3.5~4% 로 바꿔 보세요</t>
        </is>
      </c>
    </row>
    <row r="23" ht="30" customHeight="1">
      <c r="A23" s="5" t="inlineStr">
        <is>
          <t>대략 필요한 저축·투자 총액 (USD)</t>
        </is>
      </c>
      <c r="B23" s="11" t="n"/>
      <c r="C23" s="13">
        <f>IF(OR(C22="",C22=0),"",C21/C22)</f>
        <v/>
      </c>
      <c r="D23" s="7" t="inlineStr">
        <is>
          <t>부족한 1년 금액 ÷ 인출률</t>
        </is>
      </c>
    </row>
    <row r="24" ht="36" customHeight="1">
      <c r="A24" s="3" t="inlineStr">
        <is>
          <t>※ 물가 상승, 의료비, 오래 사는 경우를 생각해서 여유를 두세요. 큰 결정은 은퇴 설계 전문가(수수료만 받는 fee-only)와 상의하는 게 안전해요.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4">
    <mergeCell ref="A1:D1"/>
    <mergeCell ref="A24:D24"/>
    <mergeCell ref="A3:D3"/>
    <mergeCell ref="A2:D2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