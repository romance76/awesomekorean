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시트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0%"/>
    <numFmt numFmtId="166" formatCode="+&quot;$&quot;#,##0;-&quot;$&quot;#,##0;&quot;$&quot;0"/>
  </numFmts>
  <fonts count="8">
    <font>
      <name val="Calibri"/>
      <family val="2"/>
      <color theme="1"/>
      <sz val="11"/>
      <scheme val="minor"/>
    </font>
    <font>
      <name val="Malgun Gothic"/>
      <b val="1"/>
      <color rgb="00047857"/>
      <sz val="18"/>
    </font>
    <font>
      <name val="Malgun Gothic"/>
      <sz val="12"/>
    </font>
    <font>
      <name val="Malgun Gothic"/>
      <color rgb="006B7280"/>
      <sz val="11"/>
    </font>
    <font>
      <name val="Malgun Gothic"/>
      <b val="1"/>
      <color rgb="00FFFFFF"/>
      <sz val="12"/>
    </font>
    <font>
      <name val="Malgun Gothic"/>
      <b val="1"/>
      <sz val="12"/>
    </font>
    <font>
      <name val="Malgun Gothic"/>
      <color rgb="001D4ED8"/>
      <sz val="12"/>
    </font>
    <font>
      <name val="Malgun Gothic"/>
      <b val="1"/>
      <color rgb="00065F46"/>
      <sz val="13"/>
    </font>
  </fonts>
  <fills count="6">
    <fill>
      <patternFill/>
    </fill>
    <fill>
      <patternFill patternType="gray125"/>
    </fill>
    <fill>
      <patternFill patternType="solid">
        <fgColor rgb="00047857"/>
      </patternFill>
    </fill>
    <fill>
      <patternFill patternType="solid">
        <fgColor rgb="00FFF9C4"/>
      </patternFill>
    </fill>
    <fill>
      <patternFill patternType="solid">
        <fgColor rgb="00F3F4F6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6" fillId="3" borderId="1" applyAlignment="1" applyProtection="1" pivotButton="0" quotePrefix="0" xfId="0">
      <alignment vertical="center" wrapText="1"/>
      <protection locked="0" hidden="0"/>
    </xf>
    <xf numFmtId="164" fontId="6" fillId="3" borderId="1" applyAlignment="1" applyProtection="1" pivotButton="0" quotePrefix="0" xfId="0">
      <alignment vertical="center" wrapText="1"/>
      <protection locked="0" hidden="0"/>
    </xf>
    <xf numFmtId="165" fontId="6" fillId="3" borderId="1" applyAlignment="1" applyProtection="1" pivotButton="0" quotePrefix="0" xfId="0">
      <alignment vertical="center" wrapText="1"/>
      <protection locked="0" hidden="0"/>
    </xf>
    <xf numFmtId="0" fontId="5" fillId="4" borderId="1" pivotButton="0" quotePrefix="0" xfId="0"/>
    <xf numFmtId="0" fontId="0" fillId="4" borderId="1" pivotButton="0" quotePrefix="0" xfId="0"/>
    <xf numFmtId="164" fontId="7" fillId="5" borderId="1" applyAlignment="1" pivotButton="0" quotePrefix="0" xfId="0">
      <alignment vertical="center" wrapText="1"/>
    </xf>
    <xf numFmtId="166" fontId="7" fillId="5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22" customWidth="1" min="4" max="4"/>
  </cols>
  <sheetData>
    <row r="1" ht="34" customHeight="1">
      <c r="A1" s="1" t="inlineStr">
        <is>
          <t>신용카드 연회비 비교표</t>
        </is>
      </c>
    </row>
    <row r="2" ht="40" customHeight="1">
      <c r="A2" s="2" t="inlineStr">
        <is>
          <t>연회비가 있는 카드가 정말 이득인지 "연회비 없는 2% 현금환급 카드"와 비교해요. 카드 A·B 칸에 내 카드 숫자를 넣으세요. 맨 아래 초록 칸에 결과가 나와요.</t>
        </is>
      </c>
    </row>
    <row r="3" ht="22" customHeight="1">
      <c r="A3" s="3" t="inlineStr">
        <is>
          <t>노란 칸 = 내가 직접 넣는 곳    초록 칸 = 자동 계산 (건드리지 않아도 돼요)</t>
        </is>
      </c>
    </row>
    <row r="5" ht="44" customHeight="1">
      <c r="A5" s="4" t="inlineStr">
        <is>
          <t>항목</t>
        </is>
      </c>
      <c r="B5" s="4" t="inlineStr">
        <is>
          <t>카드 A</t>
        </is>
      </c>
      <c r="C5" s="4" t="inlineStr">
        <is>
          <t>카드 B</t>
        </is>
      </c>
      <c r="D5" s="4" t="inlineStr">
        <is>
          <t>기준: 2% 현금환급 카드
(연회비 없음)</t>
        </is>
      </c>
    </row>
    <row r="6" ht="36" customHeight="1">
      <c r="A6" s="5" t="inlineStr">
        <is>
          <t>카드 이름</t>
        </is>
      </c>
      <c r="B6" s="6" t="inlineStr">
        <is>
          <t>예: 여행 카드</t>
        </is>
      </c>
      <c r="C6" s="6" t="inlineStr">
        <is>
          <t>예: 마트 카드</t>
        </is>
      </c>
      <c r="D6" s="6" t="inlineStr">
        <is>
          <t>2% 현금환급</t>
        </is>
      </c>
    </row>
    <row r="7" ht="36" customHeight="1">
      <c r="A7" s="5" t="inlineStr">
        <is>
          <t>연회비 (USD)</t>
        </is>
      </c>
      <c r="B7" s="7" t="n">
        <v>395</v>
      </c>
      <c r="C7" s="7" t="n">
        <v>95</v>
      </c>
      <c r="D7" s="7" t="n">
        <v>0</v>
      </c>
    </row>
    <row r="8" ht="36" customHeight="1">
      <c r="A8" s="5" t="inlineStr">
        <is>
          <t>1년에 이 카드로 쓸 금액 (USD)</t>
        </is>
      </c>
      <c r="B8" s="7" t="n">
        <v>30000</v>
      </c>
      <c r="C8" s="7" t="n">
        <v>30000</v>
      </c>
      <c r="D8" s="7" t="n">
        <v>30000</v>
      </c>
    </row>
    <row r="9" ht="36" customHeight="1">
      <c r="A9" s="5" t="inlineStr">
        <is>
          <t>내 소비 기준 평균 환급률
(1.5% 라면 0.015)</t>
        </is>
      </c>
      <c r="B9" s="8" t="n">
        <v>0.03</v>
      </c>
      <c r="C9" s="8" t="n">
        <v>0.02</v>
      </c>
      <c r="D9" s="8" t="n">
        <v>0.02</v>
      </c>
    </row>
    <row r="10" ht="36" customHeight="1">
      <c r="A10" s="5" t="inlineStr">
        <is>
          <t>실제로 쓰는 카드 혜택(크레딧) 연 합계 (USD)</t>
        </is>
      </c>
      <c r="B10" s="7" t="n">
        <v>200</v>
      </c>
      <c r="C10" s="7" t="n">
        <v>0</v>
      </c>
      <c r="D10" s="7" t="n">
        <v>0</v>
      </c>
    </row>
    <row r="11" ht="36" customHeight="1">
      <c r="A11" s="5" t="inlineStr">
        <is>
          <t>첫해만 받는 가입 보너스 (USD)</t>
        </is>
      </c>
      <c r="B11" s="7" t="n">
        <v>750</v>
      </c>
      <c r="C11" s="7" t="n">
        <v>200</v>
      </c>
      <c r="D11" s="7" t="n">
        <v>200</v>
      </c>
    </row>
    <row r="12" ht="26" customHeight="1">
      <c r="A12" s="9" t="inlineStr">
        <is>
          <t>자동 계산</t>
        </is>
      </c>
      <c r="B12" s="10" t="n"/>
      <c r="C12" s="10" t="n"/>
      <c r="D12" s="10" t="n"/>
    </row>
    <row r="13">
      <c r="A13" s="5" t="inlineStr">
        <is>
          <t>포인트·환급으로 받는 돈 (1년)</t>
        </is>
      </c>
      <c r="B13" s="11">
        <f>B8*B9</f>
        <v/>
      </c>
      <c r="C13" s="11">
        <f>C8*C9</f>
        <v/>
      </c>
      <c r="D13" s="11">
        <f>D8*D9</f>
        <v/>
      </c>
    </row>
    <row r="14" ht="36" customHeight="1">
      <c r="A14" s="5" t="inlineStr">
        <is>
          <t>2년차 이후 1년 순이익
= 환급 + 혜택 − 연회비</t>
        </is>
      </c>
      <c r="B14" s="11">
        <f>B13+B10-B7</f>
        <v/>
      </c>
      <c r="C14" s="11">
        <f>C13+C10-C7</f>
        <v/>
      </c>
      <c r="D14" s="11">
        <f>D13+D10-D7</f>
        <v/>
      </c>
    </row>
    <row r="15">
      <c r="A15" s="5" t="inlineStr">
        <is>
          <t>첫해 순이익 (가입 보너스 포함)</t>
        </is>
      </c>
      <c r="B15" s="11">
        <f>B14+B11</f>
        <v/>
      </c>
      <c r="C15" s="11">
        <f>C14+C11</f>
        <v/>
      </c>
      <c r="D15" s="11">
        <f>D14+D11</f>
        <v/>
      </c>
    </row>
    <row r="16" ht="36" customHeight="1">
      <c r="A16" s="5" t="inlineStr">
        <is>
          <t>기준 카드와의 차이 (2년차 이후, 1년)
+ 이면 이 카드가 이득</t>
        </is>
      </c>
      <c r="B16" s="12">
        <f>B14-$D$14</f>
        <v/>
      </c>
      <c r="C16" s="12">
        <f>C14-$D$14</f>
        <v/>
      </c>
      <c r="D16" s="13" t="inlineStr">
        <is>
          <t>(기준)</t>
        </is>
      </c>
    </row>
    <row r="17">
      <c r="A17" s="5" t="inlineStr">
        <is>
          <t>결과</t>
        </is>
      </c>
      <c r="B17" s="14">
        <f>IF(B16&gt;0,"A가 이득 👍","2% 카드가 이득")</f>
        <v/>
      </c>
      <c r="C17" s="14">
        <f>IF(C16&gt;0,"B가 이득 👍","2% 카드가 이득")</f>
        <v/>
      </c>
      <c r="D17" s="13" t="inlineStr"/>
    </row>
    <row r="18" ht="36" customHeight="1">
      <c r="A18" s="3" t="inlineStr">
        <is>
          <t>※ 숫자는 모두 예시예요. 가입 보너스는 첫해에 한 번만 받으니, 오래 쓸 카드는 "2년차 이후" 줄로 판단하세요. 혜택(크레딧)은 내가 실제로 쓸 것만 넣으세요 — 안 쓰면 0원이에요.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4">
    <mergeCell ref="A1:D1"/>
    <mergeCell ref="A18:D18"/>
    <mergeCell ref="A3:D3"/>
    <mergeCell ref="A2:D2"/>
  </mergeCells>
  <printOptions horizontalCentered="1"/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2026-10-13T12:35:33Z</dcterms:created>
  <dcterms:modified xsi:type="dcterms:W3CDTF">2026-10-13T12:35:33Z</dcterms:modified>
</cp:coreProperties>
</file>